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WNLOAD\cham cong\"/>
    </mc:Choice>
  </mc:AlternateContent>
  <bookViews>
    <workbookView xWindow="0" yWindow="0" windowWidth="28800" windowHeight="12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E11" i="2"/>
  <c r="E12" i="2"/>
  <c r="E14" i="2" s="1"/>
  <c r="E13" i="2"/>
  <c r="E10" i="2"/>
  <c r="E9" i="2" l="1"/>
  <c r="E8" i="2"/>
  <c r="E7" i="2"/>
  <c r="E4" i="2"/>
  <c r="E5" i="2"/>
  <c r="E6" i="2"/>
  <c r="E3" i="2"/>
  <c r="D2" i="1" l="1"/>
  <c r="D4" i="1" s="1"/>
</calcChain>
</file>

<file path=xl/sharedStrings.xml><?xml version="1.0" encoding="utf-8"?>
<sst xmlns="http://schemas.openxmlformats.org/spreadsheetml/2006/main" count="67" uniqueCount="32">
  <si>
    <t>NGÀY</t>
  </si>
  <si>
    <t>TIỀN</t>
  </si>
  <si>
    <t>AI</t>
  </si>
  <si>
    <t>DANN FOOD TRÁI CÂY SÂY</t>
  </si>
  <si>
    <t>MCGOODS KẸO DỒI LẠC</t>
  </si>
  <si>
    <t>PINATTSU ĐẬU PHỘNG HẢI SẢN</t>
  </si>
  <si>
    <t>PINATTSU ĐẬU PHỘNG MỰC CAY</t>
  </si>
  <si>
    <t>PINATTSU ĐẬU PHỘNG NƯỚC CỐT DỪA</t>
  </si>
  <si>
    <t>KẸO LÁC CAO CẤP</t>
  </si>
  <si>
    <t>NUTTY HƯỚNG DƯƠNG NGUYÊN HẠT</t>
  </si>
  <si>
    <t>STT</t>
  </si>
  <si>
    <t>MON</t>
  </si>
  <si>
    <t>GIA</t>
  </si>
  <si>
    <t>SL</t>
  </si>
  <si>
    <t>SUM</t>
  </si>
  <si>
    <t>longpd</t>
  </si>
  <si>
    <t>thanhnt64</t>
  </si>
  <si>
    <t>tuanna32</t>
  </si>
  <si>
    <t>datnm3</t>
  </si>
  <si>
    <t>huevt6</t>
  </si>
  <si>
    <t>Chi</t>
  </si>
  <si>
    <t>Còn</t>
  </si>
  <si>
    <t>Đớp</t>
  </si>
  <si>
    <t>Nợ</t>
  </si>
  <si>
    <t>CHA CHEER HẠI HƯỚNG DƯƠNG</t>
  </si>
  <si>
    <t>Chi2</t>
  </si>
  <si>
    <t>ONE BÁNH GẠO THỊT XÔNG KHÓI</t>
  </si>
  <si>
    <t>POCA ĐẬU PHỘNG RẮC RẮC</t>
  </si>
  <si>
    <t>VINAMIT</t>
  </si>
  <si>
    <t>Chi3</t>
  </si>
  <si>
    <t>tunla2</t>
  </si>
  <si>
    <t>hungnd15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</si>
</sst>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2" xfId="0" applyBorder="1"/>
    <xf numFmtId="0" fontId="0" fillId="7" borderId="0" xfId="0" applyFill="1"/>
  </cellXfs>
  <cellStyles count="1">
    <cellStyle name="Normal" xfId="0" builtinId="0"/>
  </cellStyles>
  <dxfs count="1"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2" displayName="Table2" ref="A1:C28" totalsRowShown="0">
  <autoFilter ref="A1:C28"/>
  <tableColumns count="3">
    <tableColumn id="1" name="NGÀY" dataDxfId="0"/>
    <tableColumn id="2" name="TIỀN"/>
    <tableColumn id="3" name="A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8"/>
  <sheetViews>
    <sheetView tabSelected="1" workbookViewId="0">
      <selection activeCell="I25" sqref="I25"/>
    </sheetView>
  </sheetViews>
  <sheetFormatPr defaultRowHeight="15" x14ac:dyDescent="0.25"/>
  <cols>
    <col min="1" max="1" width="10.7109375" bestFit="1" customWidth="1"/>
    <col min="2" max="2" width="7.28515625" bestFit="1" customWidth="1"/>
    <col min="3" max="3" width="10" bestFit="1" customWidth="1"/>
    <col min="4" max="4" width="8" bestFit="1" customWidth="1"/>
    <col min="5" max="5" width="5.28515625" bestFit="1" customWidth="1"/>
    <col min="6" max="6" width="7.140625" bestFit="1" customWidth="1"/>
    <col min="7" max="7" width="8.5703125" bestFit="1" customWidth="1"/>
    <col min="8" max="8" width="10" bestFit="1" customWidth="1"/>
    <col min="9" max="9" width="9.140625" bestFit="1" customWidth="1"/>
    <col min="10" max="10" width="7.7109375" bestFit="1" customWidth="1"/>
    <col min="11" max="11" width="7.140625" bestFit="1" customWidth="1"/>
  </cols>
  <sheetData>
    <row r="1" spans="1:12" x14ac:dyDescent="0.25">
      <c r="A1" t="s">
        <v>0</v>
      </c>
      <c r="B1" t="s">
        <v>1</v>
      </c>
      <c r="C1" t="s">
        <v>2</v>
      </c>
      <c r="F1" s="8" t="s">
        <v>19</v>
      </c>
      <c r="G1" s="8" t="s">
        <v>31</v>
      </c>
      <c r="H1" s="8" t="s">
        <v>16</v>
      </c>
      <c r="I1" s="8" t="s">
        <v>17</v>
      </c>
      <c r="J1" s="8" t="s">
        <v>18</v>
      </c>
      <c r="K1" s="8" t="s">
        <v>15</v>
      </c>
      <c r="L1" s="8" t="s">
        <v>30</v>
      </c>
    </row>
    <row r="2" spans="1:12" x14ac:dyDescent="0.25">
      <c r="A2" s="1">
        <v>46286</v>
      </c>
      <c r="B2">
        <v>10000</v>
      </c>
      <c r="C2" t="s">
        <v>19</v>
      </c>
      <c r="D2" s="6">
        <f>SUM(B:B)</f>
        <v>1205000</v>
      </c>
      <c r="E2" s="6"/>
      <c r="F2" s="8">
        <v>10000</v>
      </c>
      <c r="G2" s="8">
        <v>300000</v>
      </c>
      <c r="H2" s="8">
        <v>275000</v>
      </c>
      <c r="I2" s="8">
        <v>150000</v>
      </c>
      <c r="J2" s="8">
        <v>120000</v>
      </c>
      <c r="K2" s="8">
        <v>200000</v>
      </c>
      <c r="L2" s="8">
        <v>150000</v>
      </c>
    </row>
    <row r="3" spans="1:12" x14ac:dyDescent="0.25">
      <c r="A3" s="1">
        <v>46286</v>
      </c>
      <c r="B3">
        <v>50000</v>
      </c>
      <c r="C3" t="s">
        <v>31</v>
      </c>
      <c r="D3" s="4">
        <v>345700</v>
      </c>
      <c r="E3" s="4" t="s">
        <v>20</v>
      </c>
    </row>
    <row r="4" spans="1:12" x14ac:dyDescent="0.25">
      <c r="A4" s="1">
        <v>46286</v>
      </c>
      <c r="B4">
        <v>15000</v>
      </c>
      <c r="C4" t="s">
        <v>16</v>
      </c>
      <c r="D4" s="2">
        <f>D2-D3 -D5-D6-D7-D8-D9-D10</f>
        <v>370000</v>
      </c>
      <c r="E4" s="2" t="s">
        <v>21</v>
      </c>
    </row>
    <row r="5" spans="1:12" x14ac:dyDescent="0.25">
      <c r="A5" s="1">
        <v>46287</v>
      </c>
      <c r="B5">
        <v>20000</v>
      </c>
      <c r="C5" t="s">
        <v>17</v>
      </c>
      <c r="D5" s="3">
        <v>9300</v>
      </c>
      <c r="E5" s="3" t="s">
        <v>22</v>
      </c>
    </row>
    <row r="6" spans="1:12" x14ac:dyDescent="0.25">
      <c r="A6" s="1">
        <v>46288</v>
      </c>
      <c r="B6">
        <v>20000</v>
      </c>
      <c r="C6" t="s">
        <v>17</v>
      </c>
      <c r="D6" s="5">
        <v>40000</v>
      </c>
      <c r="E6" s="5" t="s">
        <v>23</v>
      </c>
    </row>
    <row r="7" spans="1:12" x14ac:dyDescent="0.25">
      <c r="A7" s="1">
        <v>46288</v>
      </c>
      <c r="B7">
        <v>40000</v>
      </c>
      <c r="C7" t="s">
        <v>16</v>
      </c>
      <c r="D7" s="4">
        <v>181400</v>
      </c>
      <c r="E7" s="4" t="s">
        <v>25</v>
      </c>
    </row>
    <row r="8" spans="1:12" x14ac:dyDescent="0.25">
      <c r="A8" s="1">
        <v>46288</v>
      </c>
      <c r="B8">
        <v>50000</v>
      </c>
      <c r="C8" t="s">
        <v>18</v>
      </c>
      <c r="D8" s="3">
        <v>8600</v>
      </c>
      <c r="E8" s="3" t="s">
        <v>22</v>
      </c>
    </row>
    <row r="9" spans="1:12" x14ac:dyDescent="0.25">
      <c r="A9" s="1">
        <v>46291</v>
      </c>
      <c r="B9">
        <v>50000</v>
      </c>
      <c r="C9" t="s">
        <v>17</v>
      </c>
      <c r="D9" s="4">
        <v>238000</v>
      </c>
      <c r="E9" s="4" t="s">
        <v>29</v>
      </c>
    </row>
    <row r="10" spans="1:12" x14ac:dyDescent="0.25">
      <c r="A10" s="1">
        <v>46293</v>
      </c>
      <c r="B10">
        <v>50000</v>
      </c>
      <c r="C10" t="s">
        <v>31</v>
      </c>
      <c r="D10" s="3">
        <v>12000</v>
      </c>
      <c r="E10" s="3" t="s">
        <v>22</v>
      </c>
    </row>
    <row r="11" spans="1:12" x14ac:dyDescent="0.25">
      <c r="A11" s="1">
        <v>46293</v>
      </c>
      <c r="B11">
        <v>20000</v>
      </c>
      <c r="C11" t="s">
        <v>16</v>
      </c>
    </row>
    <row r="12" spans="1:12" x14ac:dyDescent="0.25">
      <c r="A12" s="1">
        <v>46293</v>
      </c>
      <c r="B12">
        <v>50000</v>
      </c>
      <c r="C12" t="s">
        <v>31</v>
      </c>
      <c r="L12" s="7"/>
    </row>
    <row r="13" spans="1:12" x14ac:dyDescent="0.25">
      <c r="A13" s="1">
        <v>46293</v>
      </c>
      <c r="B13">
        <v>20000</v>
      </c>
      <c r="C13" t="s">
        <v>18</v>
      </c>
    </row>
    <row r="14" spans="1:12" x14ac:dyDescent="0.25">
      <c r="A14" s="1">
        <v>46293</v>
      </c>
      <c r="B14">
        <v>40000</v>
      </c>
      <c r="C14" t="s">
        <v>31</v>
      </c>
    </row>
    <row r="15" spans="1:12" x14ac:dyDescent="0.25">
      <c r="A15" s="1">
        <v>46294</v>
      </c>
      <c r="B15">
        <v>50000</v>
      </c>
      <c r="C15" t="s">
        <v>15</v>
      </c>
    </row>
    <row r="16" spans="1:12" x14ac:dyDescent="0.25">
      <c r="A16" s="1">
        <v>46297</v>
      </c>
      <c r="B16">
        <v>100000</v>
      </c>
      <c r="C16" t="s">
        <v>31</v>
      </c>
    </row>
    <row r="17" spans="1:3" x14ac:dyDescent="0.25">
      <c r="A17" s="1">
        <v>46301</v>
      </c>
      <c r="B17">
        <v>50000</v>
      </c>
      <c r="C17" t="s">
        <v>15</v>
      </c>
    </row>
    <row r="18" spans="1:3" x14ac:dyDescent="0.25">
      <c r="A18" s="1">
        <v>46302</v>
      </c>
      <c r="B18">
        <v>50000</v>
      </c>
      <c r="C18" t="s">
        <v>17</v>
      </c>
    </row>
    <row r="19" spans="1:3" x14ac:dyDescent="0.25">
      <c r="A19" s="1">
        <v>46302</v>
      </c>
      <c r="B19">
        <v>50000</v>
      </c>
      <c r="C19" t="s">
        <v>18</v>
      </c>
    </row>
    <row r="20" spans="1:3" x14ac:dyDescent="0.25">
      <c r="A20" s="1">
        <v>46302</v>
      </c>
      <c r="B20">
        <v>50000</v>
      </c>
      <c r="C20" t="s">
        <v>16</v>
      </c>
    </row>
    <row r="21" spans="1:3" x14ac:dyDescent="0.25">
      <c r="A21" s="1">
        <v>46307</v>
      </c>
      <c r="B21">
        <v>50000</v>
      </c>
      <c r="C21" t="s">
        <v>15</v>
      </c>
    </row>
    <row r="22" spans="1:3" x14ac:dyDescent="0.25">
      <c r="A22" s="1">
        <v>46307</v>
      </c>
      <c r="B22">
        <v>50000</v>
      </c>
      <c r="C22" t="s">
        <v>15</v>
      </c>
    </row>
    <row r="23" spans="1:3" x14ac:dyDescent="0.25">
      <c r="A23" s="1">
        <v>46308</v>
      </c>
      <c r="B23">
        <v>150000</v>
      </c>
      <c r="C23" t="s">
        <v>30</v>
      </c>
    </row>
    <row r="24" spans="1:3" x14ac:dyDescent="0.25">
      <c r="A24" s="1">
        <v>46308</v>
      </c>
      <c r="B24">
        <v>50000</v>
      </c>
      <c r="C24" t="s">
        <v>16</v>
      </c>
    </row>
    <row r="25" spans="1:3" x14ac:dyDescent="0.25">
      <c r="A25" s="1">
        <v>46308</v>
      </c>
      <c r="B25">
        <v>10000</v>
      </c>
      <c r="C25" t="s">
        <v>31</v>
      </c>
    </row>
    <row r="26" spans="1:3" x14ac:dyDescent="0.25">
      <c r="A26" s="1">
        <v>46309</v>
      </c>
      <c r="B26">
        <v>10000</v>
      </c>
      <c r="C26" t="s">
        <v>17</v>
      </c>
    </row>
    <row r="27" spans="1:3" x14ac:dyDescent="0.25">
      <c r="A27" s="1">
        <v>46310</v>
      </c>
      <c r="B27">
        <v>50000</v>
      </c>
      <c r="C27" t="s">
        <v>16</v>
      </c>
    </row>
    <row r="28" spans="1:3" x14ac:dyDescent="0.25">
      <c r="A28" s="1">
        <v>46310</v>
      </c>
      <c r="B28">
        <v>50000</v>
      </c>
      <c r="C28" t="s">
        <v>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"/>
  <sheetViews>
    <sheetView workbookViewId="0">
      <selection activeCell="I22" sqref="I22"/>
    </sheetView>
  </sheetViews>
  <sheetFormatPr defaultRowHeight="15" x14ac:dyDescent="0.25"/>
  <cols>
    <col min="2" max="2" width="36.42578125" bestFit="1" customWidth="1"/>
  </cols>
  <sheetData>
    <row r="1" spans="1:7" x14ac:dyDescent="0.25">
      <c r="A1" s="2" t="s">
        <v>10</v>
      </c>
      <c r="B1" s="2" t="s">
        <v>11</v>
      </c>
      <c r="C1" s="2" t="s">
        <v>12</v>
      </c>
      <c r="D1" s="2" t="s">
        <v>13</v>
      </c>
      <c r="E1" s="2" t="s">
        <v>14</v>
      </c>
      <c r="G1" s="2">
        <f>337000-E15</f>
        <v>181400</v>
      </c>
    </row>
    <row r="2" spans="1:7" x14ac:dyDescent="0.25">
      <c r="A2" s="4">
        <v>1</v>
      </c>
      <c r="B2" s="4" t="s">
        <v>3</v>
      </c>
      <c r="C2" s="4">
        <v>30800</v>
      </c>
      <c r="D2" s="4">
        <v>4</v>
      </c>
      <c r="E2" s="4">
        <v>123200</v>
      </c>
    </row>
    <row r="3" spans="1:7" x14ac:dyDescent="0.25">
      <c r="A3" s="4">
        <v>2</v>
      </c>
      <c r="B3" s="4" t="s">
        <v>4</v>
      </c>
      <c r="C3" s="4">
        <v>22200</v>
      </c>
      <c r="D3" s="4">
        <v>2</v>
      </c>
      <c r="E3" s="4">
        <f>C3*D3</f>
        <v>44400</v>
      </c>
    </row>
    <row r="4" spans="1:7" x14ac:dyDescent="0.25">
      <c r="A4" s="4">
        <v>3</v>
      </c>
      <c r="B4" s="4" t="s">
        <v>5</v>
      </c>
      <c r="C4" s="4">
        <v>11300</v>
      </c>
      <c r="D4" s="4">
        <v>1</v>
      </c>
      <c r="E4" s="4">
        <f t="shared" ref="E4:E8" si="0">C4*D4</f>
        <v>11300</v>
      </c>
    </row>
    <row r="5" spans="1:7" x14ac:dyDescent="0.25">
      <c r="A5" s="4">
        <v>4</v>
      </c>
      <c r="B5" s="4" t="s">
        <v>6</v>
      </c>
      <c r="C5" s="4">
        <v>11100</v>
      </c>
      <c r="D5" s="4">
        <v>1</v>
      </c>
      <c r="E5" s="4">
        <f t="shared" si="0"/>
        <v>11100</v>
      </c>
    </row>
    <row r="6" spans="1:7" x14ac:dyDescent="0.25">
      <c r="A6" s="4">
        <v>5</v>
      </c>
      <c r="B6" s="4" t="s">
        <v>7</v>
      </c>
      <c r="C6" s="4">
        <v>11100</v>
      </c>
      <c r="D6" s="4">
        <v>1</v>
      </c>
      <c r="E6" s="4">
        <f t="shared" si="0"/>
        <v>11100</v>
      </c>
    </row>
    <row r="7" spans="1:7" x14ac:dyDescent="0.25">
      <c r="A7" s="4">
        <v>6</v>
      </c>
      <c r="B7" s="4" t="s">
        <v>8</v>
      </c>
      <c r="C7" s="4">
        <v>37300</v>
      </c>
      <c r="D7" s="4">
        <v>2</v>
      </c>
      <c r="E7" s="4">
        <f t="shared" si="0"/>
        <v>74600</v>
      </c>
    </row>
    <row r="8" spans="1:7" x14ac:dyDescent="0.25">
      <c r="A8" s="4">
        <v>7</v>
      </c>
      <c r="B8" s="4" t="s">
        <v>9</v>
      </c>
      <c r="C8" s="4">
        <v>70000</v>
      </c>
      <c r="D8" s="4">
        <v>1</v>
      </c>
      <c r="E8" s="4">
        <f t="shared" si="0"/>
        <v>70000</v>
      </c>
    </row>
    <row r="9" spans="1:7" x14ac:dyDescent="0.25">
      <c r="A9" s="9"/>
      <c r="B9" s="9"/>
      <c r="C9" s="9"/>
      <c r="D9" s="9"/>
      <c r="E9" s="9">
        <f>SUM(E2:E8)</f>
        <v>345700</v>
      </c>
    </row>
    <row r="10" spans="1:7" x14ac:dyDescent="0.25">
      <c r="A10" s="4">
        <v>1</v>
      </c>
      <c r="B10" s="4" t="s">
        <v>6</v>
      </c>
      <c r="C10" s="4">
        <v>11100</v>
      </c>
      <c r="D10" s="4">
        <v>4</v>
      </c>
      <c r="E10" s="4">
        <f>C10*D10</f>
        <v>44400</v>
      </c>
    </row>
    <row r="11" spans="1:7" x14ac:dyDescent="0.25">
      <c r="A11" s="4">
        <v>2</v>
      </c>
      <c r="B11" s="4" t="s">
        <v>5</v>
      </c>
      <c r="C11" s="4">
        <v>11300</v>
      </c>
      <c r="D11" s="4">
        <v>4</v>
      </c>
      <c r="E11" s="4">
        <f t="shared" ref="E11:E13" si="1">C11*D11</f>
        <v>45200</v>
      </c>
    </row>
    <row r="12" spans="1:7" x14ac:dyDescent="0.25">
      <c r="A12" s="4">
        <v>2</v>
      </c>
      <c r="B12" s="4" t="s">
        <v>3</v>
      </c>
      <c r="C12" s="4">
        <v>30800</v>
      </c>
      <c r="D12" s="4">
        <v>2</v>
      </c>
      <c r="E12" s="4">
        <f t="shared" si="1"/>
        <v>61600</v>
      </c>
    </row>
    <row r="13" spans="1:7" x14ac:dyDescent="0.25">
      <c r="A13" s="4">
        <v>4</v>
      </c>
      <c r="B13" s="4" t="s">
        <v>24</v>
      </c>
      <c r="C13" s="4">
        <v>30200</v>
      </c>
      <c r="D13" s="4">
        <v>1</v>
      </c>
      <c r="E13" s="4">
        <f t="shared" si="1"/>
        <v>30200</v>
      </c>
    </row>
    <row r="14" spans="1:7" x14ac:dyDescent="0.25">
      <c r="E14" s="9">
        <f>SUM(E10:E13)</f>
        <v>181400</v>
      </c>
    </row>
    <row r="15" spans="1:7" x14ac:dyDescent="0.25">
      <c r="E15">
        <v>155600</v>
      </c>
    </row>
    <row r="16" spans="1:7" x14ac:dyDescent="0.25">
      <c r="A16" s="4">
        <v>1</v>
      </c>
      <c r="B16" s="4" t="s">
        <v>3</v>
      </c>
      <c r="C16" s="4">
        <v>30800</v>
      </c>
      <c r="D16" s="4">
        <v>4</v>
      </c>
      <c r="E16" s="4">
        <v>123200</v>
      </c>
    </row>
    <row r="17" spans="1:5" x14ac:dyDescent="0.25">
      <c r="A17" s="4">
        <v>2</v>
      </c>
      <c r="B17" s="4" t="s">
        <v>26</v>
      </c>
      <c r="C17" s="4">
        <v>15900</v>
      </c>
      <c r="D17" s="4">
        <v>2</v>
      </c>
      <c r="E17" s="4">
        <v>31800</v>
      </c>
    </row>
    <row r="18" spans="1:5" x14ac:dyDescent="0.25">
      <c r="A18" s="4">
        <v>3</v>
      </c>
      <c r="B18" s="4" t="s">
        <v>6</v>
      </c>
      <c r="C18" s="4">
        <v>11100</v>
      </c>
      <c r="D18" s="4">
        <v>2</v>
      </c>
      <c r="E18" s="4">
        <v>22200</v>
      </c>
    </row>
    <row r="19" spans="1:5" x14ac:dyDescent="0.25">
      <c r="A19" s="4">
        <v>4</v>
      </c>
      <c r="B19" s="4" t="s">
        <v>5</v>
      </c>
      <c r="C19" s="4">
        <v>11300</v>
      </c>
      <c r="D19" s="4">
        <v>1</v>
      </c>
      <c r="E19" s="4">
        <v>11300</v>
      </c>
    </row>
    <row r="20" spans="1:5" x14ac:dyDescent="0.25">
      <c r="A20" s="4">
        <v>5</v>
      </c>
      <c r="B20" s="4" t="s">
        <v>27</v>
      </c>
      <c r="C20" s="4">
        <v>11500</v>
      </c>
      <c r="D20" s="4">
        <v>1</v>
      </c>
      <c r="E20" s="4">
        <v>11500</v>
      </c>
    </row>
    <row r="21" spans="1:5" x14ac:dyDescent="0.25">
      <c r="A21" s="4">
        <v>6</v>
      </c>
      <c r="B21" s="4" t="s">
        <v>28</v>
      </c>
      <c r="C21" s="4">
        <v>38000</v>
      </c>
      <c r="D21" s="4">
        <v>1</v>
      </c>
      <c r="E21" s="4">
        <v>38000</v>
      </c>
    </row>
    <row r="22" spans="1:5" x14ac:dyDescent="0.25">
      <c r="E22">
        <v>238000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Nguyen Phuoc (DACB-TTKT HTANTT)</dc:creator>
  <cp:lastModifiedBy>Duy Nguyen Phuoc (DACB-TTKT HTANTT)</cp:lastModifiedBy>
  <dcterms:created xsi:type="dcterms:W3CDTF">2026-09-25T02:51:21Z</dcterms:created>
  <dcterms:modified xsi:type="dcterms:W3CDTF">2026-10-16T01:59:56Z</dcterms:modified>
</cp:coreProperties>
</file>